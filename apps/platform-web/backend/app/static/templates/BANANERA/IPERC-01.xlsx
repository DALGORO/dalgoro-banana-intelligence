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d.docs.live.net/ff65777a90353635/DALGORO.SAS/sst-compliance/backend/app/static/templates/BANANERA/"/>
    </mc:Choice>
  </mc:AlternateContent>
  <xr:revisionPtr revIDLastSave="20" documentId="8_{FC997EAC-AA54-4944-B2BA-B19A186F85B7}" xr6:coauthVersionLast="45" xr6:coauthVersionMax="45" xr10:uidLastSave="{6A159073-BDED-4F70-913A-1A5BC1357138}"/>
  <bookViews>
    <workbookView xWindow="-28920" yWindow="-30" windowWidth="29040" windowHeight="15720" activeTab="1" xr2:uid="{00000000-000D-0000-FFFF-FFFF00000000}"/>
  </bookViews>
  <sheets>
    <sheet name="RESUMEN" sheetId="1" r:id="rId1"/>
    <sheet name="MATRIZ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" i="2" l="1"/>
  <c r="N14" i="2" l="1"/>
</calcChain>
</file>

<file path=xl/sharedStrings.xml><?xml version="1.0" encoding="utf-8"?>
<sst xmlns="http://schemas.openxmlformats.org/spreadsheetml/2006/main" count="132" uniqueCount="129">
  <si>
    <t>Matriz IPERC por proceso y puesto (XLSX)</t>
  </si>
  <si>
    <t>Código</t>
  </si>
  <si>
    <t>IPERC-01</t>
  </si>
  <si>
    <t>Totales / Resumen</t>
  </si>
  <si>
    <t>Actividad</t>
  </si>
  <si>
    <t>{{ actividad }}</t>
  </si>
  <si>
    <t>Total filas</t>
  </si>
  <si>
    <t>{{ total_rows }}</t>
  </si>
  <si>
    <t>Razón social</t>
  </si>
  <si>
    <t>{{ razon_social }}</t>
  </si>
  <si>
    <t>NR I</t>
  </si>
  <si>
    <t>{{ nr_I }}</t>
  </si>
  <si>
    <t>RUC</t>
  </si>
  <si>
    <t>{{ ruc }}</t>
  </si>
  <si>
    <t>NR II</t>
  </si>
  <si>
    <t>{{ nr_II }}</t>
  </si>
  <si>
    <t>Dirección</t>
  </si>
  <si>
    <t>{{ direccion }}</t>
  </si>
  <si>
    <t>NR III</t>
  </si>
  <si>
    <t>{{ nr_III }}</t>
  </si>
  <si>
    <t>Provincia</t>
  </si>
  <si>
    <t>{{ provincia }}</t>
  </si>
  <si>
    <t>NR IV</t>
  </si>
  <si>
    <t>{{ nr_IV }}</t>
  </si>
  <si>
    <t>Cantón</t>
  </si>
  <si>
    <t>{{ canton }}</t>
  </si>
  <si>
    <t>NP MA</t>
  </si>
  <si>
    <t>{{ np_MA }}</t>
  </si>
  <si>
    <t>Parroquia</t>
  </si>
  <si>
    <t>{{ parroquia }}</t>
  </si>
  <si>
    <t>NP A</t>
  </si>
  <si>
    <t>{{ np_A }}</t>
  </si>
  <si>
    <t>Teléfono</t>
  </si>
  <si>
    <t>{{ telefono }}</t>
  </si>
  <si>
    <t>NP M</t>
  </si>
  <si>
    <t>{{ np_M }}</t>
  </si>
  <si>
    <t>Correo</t>
  </si>
  <si>
    <t>{{ correo }}</t>
  </si>
  <si>
    <t>NP B</t>
  </si>
  <si>
    <t>{{ np_B }}</t>
  </si>
  <si>
    <t>Nivel de riesgo</t>
  </si>
  <si>
    <t>{{ riesgo }}</t>
  </si>
  <si>
    <t>Permisos de trabajo</t>
  </si>
  <si>
    <t>{{ total_permiso }}</t>
  </si>
  <si>
    <t>Tamaño empresa</t>
  </si>
  <si>
    <t>{{ tamano_mipyme }}</t>
  </si>
  <si>
    <t>Vigilancia de salud</t>
  </si>
  <si>
    <t>{{ total_vsalud }}</t>
  </si>
  <si>
    <t>Fecha IPERC</t>
  </si>
  <si>
    <t>{{ fecha_iperc }}</t>
  </si>
  <si>
    <t>Monitoreo ambiental</t>
  </si>
  <si>
    <t>{{ total_mamb }}</t>
  </si>
  <si>
    <t>{{ process }}</t>
  </si>
  <si>
    <t>{{ job }}</t>
  </si>
  <si>
    <t>{{ task }}</t>
  </si>
  <si>
    <t>{{ hazard_group }}</t>
  </si>
  <si>
    <t>{{ hazard }}</t>
  </si>
  <si>
    <t>{{ event }}</t>
  </si>
  <si>
    <t>{{ consequence }}</t>
  </si>
  <si>
    <t>{{ nd }}</t>
  </si>
  <si>
    <t>{{ ne }}</t>
  </si>
  <si>
    <t>{{ np_val }}</t>
  </si>
  <si>
    <t>{{ nc }}</t>
  </si>
  <si>
    <t>{{ nr_val }}</t>
  </si>
  <si>
    <t>{{ requires_work_permit }}</t>
  </si>
  <si>
    <t>{{ needs_health_surveillance }}</t>
  </si>
  <si>
    <t>{{ needs_env_monitoring }}</t>
  </si>
  <si>
    <t>{{ status }}</t>
  </si>
  <si>
    <t>{{row_marker}}</t>
  </si>
  <si>
    <t>engine</t>
  </si>
  <si>
    <t>xlsx</t>
  </si>
  <si>
    <t>rows_key</t>
  </si>
  <si>
    <t>rows</t>
  </si>
  <si>
    <t>sheet</t>
  </si>
  <si>
    <t>MATRIZ</t>
  </si>
  <si>
    <t>row_marker_row</t>
  </si>
  <si>
    <t>summary_sheet</t>
  </si>
  <si>
    <t>RESUMEN</t>
  </si>
  <si>
    <t>color_cell_by.column</t>
  </si>
  <si>
    <t>nr_level</t>
  </si>
  <si>
    <t>color_cell_by.map.I</t>
  </si>
  <si>
    <t>#e74c3c</t>
  </si>
  <si>
    <t>color_cell_by.map.II</t>
  </si>
  <si>
    <t>#e67e22</t>
  </si>
  <si>
    <t>color_cell_by.map.III</t>
  </si>
  <si>
    <t>#f1c40f</t>
  </si>
  <si>
    <t>color_cell_by.map.IV</t>
  </si>
  <si>
    <t>#2ecc71</t>
  </si>
  <si>
    <t>nota</t>
  </si>
  <si>
    <t>La fila 2 de MATRIZ es plantilla con placeholders Jinja. El sistema debe clonar por cada item en 'rows'.</t>
  </si>
  <si>
    <t>MATRIZ DE IDENTIFICACIÓN IPERC</t>
  </si>
  <si>
    <t>MAESTRÍA EN SEGURIDAD Y SALUD EN EL TRABAJO UNEMI</t>
  </si>
  <si>
    <t>NOMBRE DE LA EMPRESA:</t>
  </si>
  <si>
    <t>FECHA DE REALIZACION DE LA MATRIZ:</t>
  </si>
  <si>
    <t>PERSONA QUE REALIZA LA MATRIZ:</t>
  </si>
  <si>
    <t>METODOLOGIA UTILIZADA:</t>
  </si>
  <si>
    <t>NTP 330</t>
  </si>
  <si>
    <t>Descripción de actividades principales desarrolladas</t>
  </si>
  <si>
    <t>Numero de empleados.</t>
  </si>
  <si>
    <t>{{ trabajadores }}</t>
  </si>
  <si>
    <t>ACTIVIDADES</t>
  </si>
  <si>
    <t>PROCESO</t>
  </si>
  <si>
    <t>PUESTO</t>
  </si>
  <si>
    <t>TIPO DE RIESGO</t>
  </si>
  <si>
    <t>{{ responsable_sst }}</t>
  </si>
  <si>
    <t>FACTOR DE RIESGO</t>
  </si>
  <si>
    <t>EFECTOS POSIBLES</t>
  </si>
  <si>
    <t>EVENTO</t>
  </si>
  <si>
    <t>NIVEL DE DEFICIENCIA (ND)</t>
  </si>
  <si>
    <t>NIVEL DE EXPOSICIÓN (NE)</t>
  </si>
  <si>
    <t>NIVEL DE PROBABILIDAD (NP)</t>
  </si>
  <si>
    <t>INTERPRETACIÓN DEL NIVEL DE PROBABILIDAD</t>
  </si>
  <si>
    <t>NIVEL DE CONSECUENCIA</t>
  </si>
  <si>
    <t>NIVEL DE RIESGO (NR)</t>
  </si>
  <si>
    <t>INTERPRETACIÓN DEL NIVEL DE RIESGO</t>
  </si>
  <si>
    <t>CONTROL DE INGENIERÍA</t>
  </si>
  <si>
    <t>CONTROLES ADMINISTRATIVOS</t>
  </si>
  <si>
    <t>EQUIPOS DE PROTECCIÓN PERSONAL</t>
  </si>
  <si>
    <t>CONTROLES PROPUESTOS</t>
  </si>
  <si>
    <t>¿NECESITA PERMISO?</t>
  </si>
  <si>
    <t>¿NECESITA VIGILANCIA MÉDICA?</t>
  </si>
  <si>
    <t>¿NECESITA MONITOREO AMBIENTAL?</t>
  </si>
  <si>
    <t>EPP CRÍTICO</t>
  </si>
  <si>
    <t>ESTADO</t>
  </si>
  <si>
    <t>{{ controls_proposed | join(', ') }}</t>
  </si>
  <si>
    <t>{{ controls_existing_engineering | join(', ') }}</t>
  </si>
  <si>
    <t>{{ controls_existing_admin | join(', ') }}</t>
  </si>
  <si>
    <t>{{ controls_existing_epp | join(', ') }}</t>
  </si>
  <si>
    <t>{{ critical_epp | join(', ')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</si>
</sst>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textRotation="90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numFmt numFmtId="0" formatCode="General"/>
      <fill>
        <patternFill>
          <bgColor rgb="FF92D05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C000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B16" sqref="B16"/>
    </sheetView>
  </sheetViews>
  <sheetFormatPr baseColWidth="10" defaultColWidth="8.88671875" defaultRowHeight="14.4" x14ac:dyDescent="0.3"/>
  <cols>
    <col min="1" max="8" width="22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D2" t="s">
        <v>3</v>
      </c>
    </row>
    <row r="3" spans="1:5" x14ac:dyDescent="0.3">
      <c r="A3" t="s">
        <v>4</v>
      </c>
      <c r="B3" t="s">
        <v>5</v>
      </c>
      <c r="D3" t="s">
        <v>6</v>
      </c>
      <c r="E3" t="s">
        <v>7</v>
      </c>
    </row>
    <row r="4" spans="1:5" x14ac:dyDescent="0.3">
      <c r="A4" t="s">
        <v>8</v>
      </c>
      <c r="B4" t="s">
        <v>9</v>
      </c>
      <c r="D4" t="s">
        <v>10</v>
      </c>
      <c r="E4" t="s">
        <v>11</v>
      </c>
    </row>
    <row r="5" spans="1:5" x14ac:dyDescent="0.3">
      <c r="A5" t="s">
        <v>12</v>
      </c>
      <c r="B5" t="s">
        <v>13</v>
      </c>
      <c r="D5" t="s">
        <v>14</v>
      </c>
      <c r="E5" t="s">
        <v>15</v>
      </c>
    </row>
    <row r="6" spans="1:5" x14ac:dyDescent="0.3">
      <c r="A6" t="s">
        <v>16</v>
      </c>
      <c r="B6" t="s">
        <v>17</v>
      </c>
      <c r="D6" t="s">
        <v>18</v>
      </c>
      <c r="E6" t="s">
        <v>19</v>
      </c>
    </row>
    <row r="7" spans="1:5" x14ac:dyDescent="0.3">
      <c r="A7" t="s">
        <v>20</v>
      </c>
      <c r="B7" t="s">
        <v>21</v>
      </c>
      <c r="D7" t="s">
        <v>22</v>
      </c>
      <c r="E7" t="s">
        <v>23</v>
      </c>
    </row>
    <row r="8" spans="1:5" x14ac:dyDescent="0.3">
      <c r="A8" t="s">
        <v>24</v>
      </c>
      <c r="B8" t="s">
        <v>25</v>
      </c>
      <c r="D8" t="s">
        <v>26</v>
      </c>
      <c r="E8" t="s">
        <v>27</v>
      </c>
    </row>
    <row r="9" spans="1:5" x14ac:dyDescent="0.3">
      <c r="A9" t="s">
        <v>28</v>
      </c>
      <c r="B9" t="s">
        <v>29</v>
      </c>
      <c r="D9" t="s">
        <v>30</v>
      </c>
      <c r="E9" t="s">
        <v>31</v>
      </c>
    </row>
    <row r="10" spans="1:5" x14ac:dyDescent="0.3">
      <c r="A10" t="s">
        <v>32</v>
      </c>
      <c r="B10" t="s">
        <v>33</v>
      </c>
      <c r="D10" t="s">
        <v>34</v>
      </c>
      <c r="E10" t="s">
        <v>35</v>
      </c>
    </row>
    <row r="11" spans="1:5" x14ac:dyDescent="0.3">
      <c r="A11" t="s">
        <v>36</v>
      </c>
      <c r="B11" t="s">
        <v>37</v>
      </c>
      <c r="D11" t="s">
        <v>38</v>
      </c>
      <c r="E11" t="s">
        <v>39</v>
      </c>
    </row>
    <row r="12" spans="1:5" x14ac:dyDescent="0.3">
      <c r="A12" t="s">
        <v>40</v>
      </c>
      <c r="B12" t="s">
        <v>41</v>
      </c>
      <c r="D12" t="s">
        <v>42</v>
      </c>
      <c r="E12" t="s">
        <v>43</v>
      </c>
    </row>
    <row r="13" spans="1:5" x14ac:dyDescent="0.3">
      <c r="A13" t="s">
        <v>44</v>
      </c>
      <c r="B13" t="s">
        <v>45</v>
      </c>
      <c r="D13" t="s">
        <v>46</v>
      </c>
      <c r="E13" t="s">
        <v>47</v>
      </c>
    </row>
    <row r="14" spans="1:5" x14ac:dyDescent="0.3">
      <c r="A14" t="s">
        <v>48</v>
      </c>
      <c r="B14" t="s">
        <v>49</v>
      </c>
      <c r="D14" t="s">
        <v>50</v>
      </c>
      <c r="E14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tabSelected="1" topLeftCell="K5" workbookViewId="0">
      <selection activeCell="V15" sqref="V15"/>
    </sheetView>
  </sheetViews>
  <sheetFormatPr baseColWidth="10" defaultColWidth="8.88671875" defaultRowHeight="14.4" x14ac:dyDescent="0.3"/>
  <cols>
    <col min="1" max="2" width="18" customWidth="1"/>
    <col min="3" max="3" width="24" customWidth="1"/>
    <col min="4" max="4" width="20" customWidth="1"/>
    <col min="5" max="5" width="24" customWidth="1"/>
    <col min="6" max="6" width="20" customWidth="1"/>
    <col min="7" max="7" width="24" customWidth="1"/>
    <col min="8" max="10" width="8" customWidth="1"/>
    <col min="11" max="11" width="12.109375" bestFit="1" customWidth="1"/>
    <col min="12" max="12" width="6.5546875" bestFit="1" customWidth="1"/>
    <col min="13" max="13" width="9.88671875" bestFit="1" customWidth="1"/>
    <col min="14" max="14" width="11.6640625" bestFit="1" customWidth="1"/>
    <col min="15" max="15" width="31.21875" bestFit="1" customWidth="1"/>
    <col min="16" max="16" width="26.109375" bestFit="1" customWidth="1"/>
    <col min="17" max="17" width="23.88671875" bestFit="1" customWidth="1"/>
    <col min="18" max="18" width="21" bestFit="1" customWidth="1"/>
    <col min="19" max="19" width="24.109375" bestFit="1" customWidth="1"/>
    <col min="20" max="20" width="28.21875" bestFit="1" customWidth="1"/>
    <col min="21" max="21" width="24.88671875" bestFit="1" customWidth="1"/>
    <col min="22" max="22" width="14.5546875" bestFit="1" customWidth="1"/>
    <col min="23" max="23" width="9.6640625" bestFit="1" customWidth="1"/>
    <col min="24" max="24" width="14.109375" bestFit="1" customWidth="1"/>
  </cols>
  <sheetData>
    <row r="1" spans="1:24" x14ac:dyDescent="0.3">
      <c r="A1" s="40" t="s">
        <v>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24" x14ac:dyDescent="0.3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24" ht="15.6" x14ac:dyDescent="0.3">
      <c r="A3" s="44" t="s">
        <v>91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24" ht="15.6" x14ac:dyDescent="0.3">
      <c r="A4" s="28" t="s">
        <v>92</v>
      </c>
      <c r="B4" s="29"/>
      <c r="C4" s="29"/>
      <c r="D4" s="30" t="s">
        <v>9</v>
      </c>
      <c r="E4" s="30"/>
      <c r="F4" s="30"/>
      <c r="G4" s="30"/>
      <c r="H4" s="9"/>
      <c r="I4" s="10"/>
      <c r="J4" s="10"/>
      <c r="K4" s="10"/>
      <c r="L4" s="10"/>
      <c r="M4" s="10"/>
      <c r="N4" s="10"/>
      <c r="O4" s="10"/>
      <c r="P4" s="10"/>
    </row>
    <row r="5" spans="1:24" ht="15.6" x14ac:dyDescent="0.3">
      <c r="A5" s="28" t="s">
        <v>93</v>
      </c>
      <c r="B5" s="29"/>
      <c r="C5" s="29"/>
      <c r="D5" s="45" t="s">
        <v>49</v>
      </c>
      <c r="E5" s="30"/>
      <c r="F5" s="30"/>
      <c r="G5" s="30"/>
      <c r="H5" s="9"/>
      <c r="I5" s="9"/>
      <c r="J5" s="9"/>
      <c r="K5" s="9"/>
      <c r="L5" s="9"/>
      <c r="M5" s="9"/>
      <c r="N5" s="9"/>
      <c r="O5" s="9"/>
      <c r="P5" s="9"/>
    </row>
    <row r="6" spans="1:24" ht="15.6" x14ac:dyDescent="0.3">
      <c r="A6" s="28" t="s">
        <v>94</v>
      </c>
      <c r="B6" s="29"/>
      <c r="C6" s="29"/>
      <c r="D6" s="30" t="s">
        <v>104</v>
      </c>
      <c r="E6" s="30"/>
      <c r="F6" s="30"/>
      <c r="G6" s="30"/>
      <c r="H6" s="9"/>
      <c r="I6" s="9"/>
      <c r="J6" s="9"/>
      <c r="K6" s="9"/>
      <c r="L6" s="9"/>
      <c r="M6" s="9"/>
      <c r="N6" s="9"/>
      <c r="O6" s="9"/>
      <c r="P6" s="9"/>
    </row>
    <row r="7" spans="1:24" ht="15.6" x14ac:dyDescent="0.3">
      <c r="A7" s="31" t="s">
        <v>95</v>
      </c>
      <c r="B7" s="32"/>
      <c r="C7" s="33"/>
      <c r="D7" s="34" t="s">
        <v>96</v>
      </c>
      <c r="E7" s="35"/>
      <c r="F7" s="35"/>
      <c r="G7" s="36"/>
      <c r="H7" s="9"/>
      <c r="I7" s="9"/>
      <c r="J7" s="9"/>
      <c r="K7" s="9"/>
      <c r="L7" s="9"/>
      <c r="M7" s="9"/>
      <c r="N7" s="9"/>
      <c r="O7" s="9"/>
      <c r="P7" s="9"/>
    </row>
    <row r="8" spans="1:24" ht="15.6" x14ac:dyDescent="0.3">
      <c r="A8" s="11"/>
      <c r="B8" s="12"/>
      <c r="C8" s="12"/>
      <c r="D8" s="12"/>
      <c r="E8" s="13"/>
      <c r="F8" s="12"/>
      <c r="G8" s="14"/>
      <c r="H8" s="15"/>
      <c r="I8" s="15"/>
      <c r="J8" s="15"/>
      <c r="K8" s="15"/>
      <c r="L8" s="15"/>
      <c r="M8" s="15"/>
      <c r="N8" s="15"/>
      <c r="O8" s="15"/>
      <c r="P8" s="15"/>
    </row>
    <row r="9" spans="1:24" ht="15.6" x14ac:dyDescent="0.3">
      <c r="A9" s="37" t="s">
        <v>97</v>
      </c>
      <c r="B9" s="38"/>
      <c r="C9" s="38"/>
      <c r="D9" s="38"/>
      <c r="E9" s="38"/>
      <c r="F9" s="38"/>
      <c r="G9" s="38"/>
      <c r="H9" s="38"/>
      <c r="I9" s="39" t="s">
        <v>98</v>
      </c>
      <c r="J9" s="39"/>
      <c r="K9" s="39"/>
      <c r="L9" s="39"/>
      <c r="M9" s="39"/>
      <c r="N9" s="39"/>
      <c r="O9" s="39"/>
      <c r="P9" s="39"/>
    </row>
    <row r="10" spans="1:24" x14ac:dyDescent="0.3">
      <c r="A10" s="21" t="s">
        <v>5</v>
      </c>
      <c r="B10" s="22"/>
      <c r="C10" s="22"/>
      <c r="D10" s="22"/>
      <c r="E10" s="22"/>
      <c r="F10" s="22"/>
      <c r="G10" s="22"/>
      <c r="H10" s="23"/>
      <c r="I10" s="27" t="s">
        <v>99</v>
      </c>
      <c r="J10" s="27"/>
      <c r="K10" s="27"/>
      <c r="L10" s="27"/>
      <c r="M10" s="27"/>
      <c r="N10" s="27"/>
      <c r="O10" s="27"/>
      <c r="P10" s="27"/>
    </row>
    <row r="11" spans="1:24" x14ac:dyDescent="0.3">
      <c r="A11" s="24"/>
      <c r="B11" s="25"/>
      <c r="C11" s="25"/>
      <c r="D11" s="25"/>
      <c r="E11" s="25"/>
      <c r="F11" s="25"/>
      <c r="G11" s="25"/>
      <c r="H11" s="26"/>
      <c r="I11" s="27"/>
      <c r="J11" s="27"/>
      <c r="K11" s="27"/>
      <c r="L11" s="27"/>
      <c r="M11" s="27"/>
      <c r="N11" s="27"/>
      <c r="O11" s="27"/>
      <c r="P11" s="27"/>
    </row>
    <row r="12" spans="1:24" x14ac:dyDescent="0.3">
      <c r="A12" s="3"/>
      <c r="B12" s="4"/>
      <c r="C12" s="4"/>
      <c r="D12" s="4"/>
      <c r="E12" s="5"/>
      <c r="F12" s="4"/>
      <c r="G12" s="6"/>
      <c r="H12" s="2"/>
      <c r="I12" s="2"/>
      <c r="J12" s="2"/>
      <c r="K12" s="2"/>
      <c r="L12" s="2"/>
      <c r="M12" s="2"/>
      <c r="N12" s="2"/>
      <c r="O12" s="2"/>
      <c r="P12" s="1"/>
    </row>
    <row r="13" spans="1:24" ht="120" customHeight="1" x14ac:dyDescent="0.3">
      <c r="A13" s="16" t="s">
        <v>102</v>
      </c>
      <c r="B13" s="16" t="s">
        <v>101</v>
      </c>
      <c r="C13" s="16" t="s">
        <v>100</v>
      </c>
      <c r="D13" s="16" t="s">
        <v>103</v>
      </c>
      <c r="E13" s="16" t="s">
        <v>105</v>
      </c>
      <c r="F13" s="16" t="s">
        <v>107</v>
      </c>
      <c r="G13" s="16" t="s">
        <v>106</v>
      </c>
      <c r="H13" s="17" t="s">
        <v>108</v>
      </c>
      <c r="I13" s="17" t="s">
        <v>109</v>
      </c>
      <c r="J13" s="17" t="s">
        <v>110</v>
      </c>
      <c r="K13" s="17" t="s">
        <v>111</v>
      </c>
      <c r="L13" s="17" t="s">
        <v>112</v>
      </c>
      <c r="M13" s="17" t="s">
        <v>113</v>
      </c>
      <c r="N13" s="17" t="s">
        <v>114</v>
      </c>
      <c r="O13" s="16" t="s">
        <v>115</v>
      </c>
      <c r="P13" s="16" t="s">
        <v>116</v>
      </c>
      <c r="Q13" s="16" t="s">
        <v>117</v>
      </c>
      <c r="R13" s="16" t="s">
        <v>118</v>
      </c>
      <c r="S13" s="16" t="s">
        <v>119</v>
      </c>
      <c r="T13" s="16" t="s">
        <v>120</v>
      </c>
      <c r="U13" s="16" t="s">
        <v>121</v>
      </c>
      <c r="V13" s="16" t="s">
        <v>122</v>
      </c>
      <c r="W13" s="16" t="s">
        <v>123</v>
      </c>
      <c r="X13" s="7"/>
    </row>
    <row r="14" spans="1:24" ht="37.200000000000003" customHeight="1" x14ac:dyDescent="0.3">
      <c r="A14" s="8" t="s">
        <v>53</v>
      </c>
      <c r="B14" s="8" t="s">
        <v>52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18" t="s">
        <v>59</v>
      </c>
      <c r="I14" s="18" t="s">
        <v>60</v>
      </c>
      <c r="J14" s="18" t="s">
        <v>61</v>
      </c>
      <c r="K14" s="20" t="str">
        <f>IF(J14&lt;=4,"BAJO",IF(J14&lt;=8,"MEDIO",IF(J14&lt;=20,"ALTO","MUY ALTO")))</f>
        <v>MUY ALTO</v>
      </c>
      <c r="L14" s="8" t="s">
        <v>62</v>
      </c>
      <c r="M14" s="8" t="s">
        <v>63</v>
      </c>
      <c r="N14" s="20" t="b">
        <f>IF(M14&lt;=20,"IV",IF(M14&lt;=120,"III",IF(M14&lt;=500,"II",IF(M14&lt;=4000,"I"))))</f>
        <v>0</v>
      </c>
      <c r="O14" s="8" t="s">
        <v>125</v>
      </c>
      <c r="P14" s="8" t="s">
        <v>126</v>
      </c>
      <c r="Q14" s="8" t="s">
        <v>127</v>
      </c>
      <c r="R14" s="8" t="s">
        <v>124</v>
      </c>
      <c r="S14" s="8" t="s">
        <v>64</v>
      </c>
      <c r="T14" s="8" t="s">
        <v>65</v>
      </c>
      <c r="U14" s="8" t="s">
        <v>66</v>
      </c>
      <c r="V14" s="8" t="s">
        <v>128</v>
      </c>
      <c r="W14" s="8" t="s">
        <v>67</v>
      </c>
      <c r="X14" s="8" t="s">
        <v>68</v>
      </c>
    </row>
    <row r="15" spans="1:24" x14ac:dyDescent="0.3">
      <c r="H15" s="19"/>
      <c r="I15" s="19"/>
      <c r="J15" s="19"/>
      <c r="N15" s="8"/>
    </row>
    <row r="16" spans="1:24" x14ac:dyDescent="0.3">
      <c r="H16" s="19"/>
      <c r="I16" s="19"/>
      <c r="J16" s="19"/>
    </row>
    <row r="17" spans="8:10" x14ac:dyDescent="0.3">
      <c r="H17" s="19"/>
      <c r="I17" s="19"/>
      <c r="J17" s="19"/>
    </row>
    <row r="18" spans="8:10" x14ac:dyDescent="0.3">
      <c r="H18" s="19"/>
      <c r="I18" s="19"/>
      <c r="J18" s="19"/>
    </row>
    <row r="19" spans="8:10" x14ac:dyDescent="0.3">
      <c r="H19" s="19"/>
      <c r="I19" s="19"/>
      <c r="J19" s="19"/>
    </row>
    <row r="20" spans="8:10" x14ac:dyDescent="0.3">
      <c r="H20" s="19"/>
      <c r="I20" s="19"/>
      <c r="J20" s="19"/>
    </row>
    <row r="21" spans="8:10" x14ac:dyDescent="0.3">
      <c r="H21" s="19"/>
      <c r="I21" s="19"/>
      <c r="J21" s="19"/>
    </row>
    <row r="22" spans="8:10" x14ac:dyDescent="0.3">
      <c r="H22" s="19"/>
      <c r="I22" s="19"/>
      <c r="J22" s="19"/>
    </row>
    <row r="23" spans="8:10" x14ac:dyDescent="0.3">
      <c r="H23" s="19"/>
      <c r="I23" s="19"/>
      <c r="J23" s="19"/>
    </row>
    <row r="24" spans="8:10" x14ac:dyDescent="0.3">
      <c r="H24" s="19"/>
      <c r="I24" s="19"/>
      <c r="J24" s="19"/>
    </row>
    <row r="25" spans="8:10" x14ac:dyDescent="0.3">
      <c r="H25" s="19"/>
      <c r="I25" s="19"/>
      <c r="J25" s="19"/>
    </row>
    <row r="26" spans="8:10" x14ac:dyDescent="0.3">
      <c r="H26" s="19"/>
      <c r="I26" s="19"/>
      <c r="J26" s="19"/>
    </row>
    <row r="27" spans="8:10" x14ac:dyDescent="0.3">
      <c r="H27" s="19"/>
      <c r="I27" s="19"/>
      <c r="J27" s="19"/>
    </row>
    <row r="28" spans="8:10" x14ac:dyDescent="0.3">
      <c r="H28" s="19"/>
      <c r="I28" s="19"/>
      <c r="J28" s="19"/>
    </row>
    <row r="29" spans="8:10" x14ac:dyDescent="0.3">
      <c r="H29" s="19"/>
      <c r="I29" s="19"/>
      <c r="J29" s="19"/>
    </row>
    <row r="30" spans="8:10" x14ac:dyDescent="0.3">
      <c r="H30" s="19"/>
      <c r="I30" s="19"/>
      <c r="J30" s="19"/>
    </row>
    <row r="31" spans="8:10" x14ac:dyDescent="0.3">
      <c r="H31" s="19"/>
      <c r="I31" s="19"/>
      <c r="J31" s="19"/>
    </row>
    <row r="32" spans="8:10" x14ac:dyDescent="0.3">
      <c r="H32" s="19"/>
      <c r="I32" s="19"/>
      <c r="J32" s="19"/>
    </row>
    <row r="33" spans="8:10" x14ac:dyDescent="0.3">
      <c r="H33" s="19"/>
      <c r="I33" s="19"/>
      <c r="J33" s="19"/>
    </row>
    <row r="34" spans="8:10" x14ac:dyDescent="0.3">
      <c r="H34" s="19"/>
      <c r="I34" s="19"/>
      <c r="J34" s="19"/>
    </row>
    <row r="35" spans="8:10" x14ac:dyDescent="0.3">
      <c r="H35" s="19"/>
      <c r="I35" s="19"/>
      <c r="J35" s="19"/>
    </row>
    <row r="36" spans="8:10" x14ac:dyDescent="0.3">
      <c r="H36" s="19"/>
      <c r="I36" s="19"/>
      <c r="J36" s="19"/>
    </row>
    <row r="37" spans="8:10" x14ac:dyDescent="0.3">
      <c r="H37" s="19"/>
      <c r="I37" s="19"/>
      <c r="J37" s="19"/>
    </row>
    <row r="38" spans="8:10" x14ac:dyDescent="0.3">
      <c r="H38" s="19"/>
      <c r="I38" s="19"/>
      <c r="J38" s="19"/>
    </row>
    <row r="39" spans="8:10" x14ac:dyDescent="0.3">
      <c r="H39" s="19"/>
      <c r="I39" s="19"/>
      <c r="J39" s="19"/>
    </row>
    <row r="40" spans="8:10" x14ac:dyDescent="0.3">
      <c r="H40" s="19"/>
      <c r="I40" s="19"/>
      <c r="J40" s="19"/>
    </row>
    <row r="41" spans="8:10" x14ac:dyDescent="0.3">
      <c r="H41" s="19"/>
      <c r="I41" s="19"/>
      <c r="J41" s="19"/>
    </row>
    <row r="42" spans="8:10" x14ac:dyDescent="0.3">
      <c r="H42" s="19"/>
      <c r="I42" s="19"/>
      <c r="J42" s="19"/>
    </row>
    <row r="43" spans="8:10" x14ac:dyDescent="0.3">
      <c r="H43" s="19"/>
      <c r="I43" s="19"/>
      <c r="J43" s="19"/>
    </row>
    <row r="44" spans="8:10" x14ac:dyDescent="0.3">
      <c r="H44" s="19"/>
      <c r="I44" s="19"/>
      <c r="J44" s="19"/>
    </row>
    <row r="45" spans="8:10" x14ac:dyDescent="0.3">
      <c r="H45" s="19"/>
      <c r="I45" s="19"/>
      <c r="J45" s="19"/>
    </row>
    <row r="46" spans="8:10" x14ac:dyDescent="0.3">
      <c r="H46" s="19"/>
      <c r="I46" s="19"/>
      <c r="J46" s="19"/>
    </row>
    <row r="47" spans="8:10" x14ac:dyDescent="0.3">
      <c r="H47" s="19"/>
      <c r="I47" s="19"/>
      <c r="J47" s="19"/>
    </row>
    <row r="48" spans="8:10" x14ac:dyDescent="0.3">
      <c r="H48" s="19"/>
      <c r="I48" s="19"/>
      <c r="J48" s="19"/>
    </row>
    <row r="49" spans="8:10" x14ac:dyDescent="0.3">
      <c r="H49" s="19"/>
      <c r="I49" s="19"/>
      <c r="J49" s="19"/>
    </row>
    <row r="50" spans="8:10" x14ac:dyDescent="0.3">
      <c r="H50" s="19"/>
      <c r="I50" s="19"/>
      <c r="J50" s="19"/>
    </row>
    <row r="51" spans="8:10" x14ac:dyDescent="0.3">
      <c r="H51" s="19"/>
      <c r="I51" s="19"/>
      <c r="J51" s="19"/>
    </row>
    <row r="52" spans="8:10" x14ac:dyDescent="0.3">
      <c r="H52" s="19"/>
      <c r="I52" s="19"/>
      <c r="J52" s="19"/>
    </row>
    <row r="53" spans="8:10" x14ac:dyDescent="0.3">
      <c r="H53" s="19"/>
      <c r="I53" s="19"/>
      <c r="J53" s="19"/>
    </row>
    <row r="54" spans="8:10" x14ac:dyDescent="0.3">
      <c r="H54" s="19"/>
      <c r="I54" s="19"/>
      <c r="J54" s="19"/>
    </row>
    <row r="55" spans="8:10" x14ac:dyDescent="0.3">
      <c r="H55" s="19"/>
      <c r="I55" s="19"/>
      <c r="J55" s="19"/>
    </row>
    <row r="56" spans="8:10" x14ac:dyDescent="0.3">
      <c r="H56" s="19"/>
      <c r="I56" s="19"/>
      <c r="J56" s="19"/>
    </row>
    <row r="57" spans="8:10" x14ac:dyDescent="0.3">
      <c r="H57" s="19"/>
      <c r="I57" s="19"/>
      <c r="J57" s="19"/>
    </row>
  </sheetData>
  <mergeCells count="14">
    <mergeCell ref="A1:P2"/>
    <mergeCell ref="A3:P3"/>
    <mergeCell ref="A4:C4"/>
    <mergeCell ref="D4:G4"/>
    <mergeCell ref="A5:C5"/>
    <mergeCell ref="D5:G5"/>
    <mergeCell ref="A10:H11"/>
    <mergeCell ref="I10:P11"/>
    <mergeCell ref="A6:C6"/>
    <mergeCell ref="D6:G6"/>
    <mergeCell ref="A7:C7"/>
    <mergeCell ref="D7:G7"/>
    <mergeCell ref="A9:H9"/>
    <mergeCell ref="I9:P9"/>
  </mergeCells>
  <conditionalFormatting sqref="N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54">
    <cfRule type="cellIs" dxfId="7" priority="5" stopIfTrue="1" operator="equal">
      <formula>"BAJO"</formula>
    </cfRule>
    <cfRule type="cellIs" dxfId="6" priority="6" stopIfTrue="1" operator="equal">
      <formula>"MEDIO"</formula>
    </cfRule>
    <cfRule type="cellIs" dxfId="5" priority="7" stopIfTrue="1" operator="equal">
      <formula>"ALTO"</formula>
    </cfRule>
    <cfRule type="cellIs" dxfId="4" priority="8" stopIfTrue="1" operator="equal">
      <formula>"MUY ALTO"</formula>
    </cfRule>
  </conditionalFormatting>
  <conditionalFormatting sqref="N14:N54">
    <cfRule type="cellIs" dxfId="3" priority="1" stopIfTrue="1" operator="equal">
      <formula>"IV"</formula>
    </cfRule>
    <cfRule type="cellIs" dxfId="2" priority="2" stopIfTrue="1" operator="equal">
      <formula>"III"</formula>
    </cfRule>
    <cfRule type="cellIs" dxfId="1" priority="3" stopIfTrue="1" operator="equal">
      <formula>"II"</formula>
    </cfRule>
    <cfRule type="cellIs" dxfId="0" priority="4" stopIfTrue="1" operator="equal">
      <formula>"I"</formula>
    </cfRule>
  </conditionalFormatting>
  <dataValidations count="3">
    <dataValidation type="whole" allowBlank="1" showInputMessage="1" showErrorMessage="1" sqref="H15:H2012" xr:uid="{00000000-0002-0000-0100-000000000000}">
      <formula1>1</formula1>
      <formula2>10</formula2>
    </dataValidation>
    <dataValidation type="whole" allowBlank="1" showInputMessage="1" showErrorMessage="1" sqref="I15:I2012" xr:uid="{00000000-0002-0000-0100-000001000000}">
      <formula1>1</formula1>
      <formula2>4</formula2>
    </dataValidation>
    <dataValidation type="whole" allowBlank="1" showInputMessage="1" showErrorMessage="1" sqref="L15:L2012" xr:uid="{00000000-0002-0000-0100-000002000000}">
      <formula1>10</formula1>
      <formula2>100</formula2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8671875" defaultRowHeight="14.4" x14ac:dyDescent="0.3"/>
  <cols>
    <col min="1" max="3" width="28" customWidth="1"/>
  </cols>
  <sheetData>
    <row r="1" spans="1:2" x14ac:dyDescent="0.3">
      <c r="A1" t="s">
        <v>69</v>
      </c>
      <c r="B1" t="s">
        <v>70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>
        <v>2</v>
      </c>
    </row>
    <row r="5" spans="1:2" x14ac:dyDescent="0.3">
      <c r="A5" t="s">
        <v>76</v>
      </c>
      <c r="B5" t="s">
        <v>77</v>
      </c>
    </row>
    <row r="6" spans="1:2" x14ac:dyDescent="0.3">
      <c r="A6" t="s">
        <v>78</v>
      </c>
      <c r="B6" t="s">
        <v>79</v>
      </c>
    </row>
    <row r="7" spans="1:2" x14ac:dyDescent="0.3">
      <c r="A7" t="s">
        <v>80</v>
      </c>
      <c r="B7" t="s">
        <v>81</v>
      </c>
    </row>
    <row r="8" spans="1:2" x14ac:dyDescent="0.3">
      <c r="A8" t="s">
        <v>82</v>
      </c>
      <c r="B8" t="s">
        <v>83</v>
      </c>
    </row>
    <row r="9" spans="1:2" x14ac:dyDescent="0.3">
      <c r="A9" t="s">
        <v>84</v>
      </c>
      <c r="B9" t="s">
        <v>85</v>
      </c>
    </row>
    <row r="10" spans="1:2" x14ac:dyDescent="0.3">
      <c r="A10" t="s">
        <v>86</v>
      </c>
      <c r="B10" t="s">
        <v>87</v>
      </c>
    </row>
    <row r="11" spans="1:2" x14ac:dyDescent="0.3">
      <c r="A11" t="s">
        <v>88</v>
      </c>
      <c r="B1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MATRIZ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 González Romero</cp:lastModifiedBy>
  <dcterms:created xsi:type="dcterms:W3CDTF">2025-11-19T22:30:03Z</dcterms:created>
  <dcterms:modified xsi:type="dcterms:W3CDTF">2025-11-24T23:14:04Z</dcterms:modified>
</cp:coreProperties>
</file>